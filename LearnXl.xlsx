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schand/Desktop/Newww/"/>
    </mc:Choice>
  </mc:AlternateContent>
  <xr:revisionPtr revIDLastSave="0" documentId="13_ncr:1_{F3A3AB42-FE04-2F41-9DA5-DFD96B1C05F3}" xr6:coauthVersionLast="47" xr6:coauthVersionMax="47" xr10:uidLastSave="{00000000-0000-0000-0000-000000000000}"/>
  <bookViews>
    <workbookView xWindow="0" yWindow="660" windowWidth="30240" windowHeight="17280" activeTab="3" xr2:uid="{38AD92B7-F62F-0C4A-9116-F97DFAA1A771}"/>
  </bookViews>
  <sheets>
    <sheet name="Formulas" sheetId="1" r:id="rId1"/>
    <sheet name="Chart" sheetId="2" r:id="rId2"/>
    <sheet name="Pivot" sheetId="3" r:id="rId3"/>
    <sheet name="Sheet4" sheetId="5" r:id="rId4"/>
  </sheets>
  <definedNames>
    <definedName name="_xlnm._FilterDatabase" localSheetId="0" hidden="1">Formulas!$A$16:$E$37</definedName>
    <definedName name="_xlnm._FilterDatabase" localSheetId="2" hidden="1">Pivot!$A$1:$I$28</definedName>
    <definedName name="_xlchart.v1.0" hidden="1">Chart!$A$2</definedName>
    <definedName name="_xlchart.v1.1" hidden="1">Chart!$A$3</definedName>
    <definedName name="_xlchart.v1.10" hidden="1">Chart!$B$1:$G$1</definedName>
    <definedName name="_xlchart.v1.11" hidden="1">Chart!$B$2:$G$2</definedName>
    <definedName name="_xlchart.v1.12" hidden="1">Chart!$B$3:$G$3</definedName>
    <definedName name="_xlchart.v1.13" hidden="1">Chart!$B$4:$G$4</definedName>
    <definedName name="_xlchart.v1.14" hidden="1">Chart!$A$2</definedName>
    <definedName name="_xlchart.v1.15" hidden="1">Chart!$A$3</definedName>
    <definedName name="_xlchart.v1.16" hidden="1">Chart!$A$4</definedName>
    <definedName name="_xlchart.v1.17" hidden="1">Chart!$B$1:$G$1</definedName>
    <definedName name="_xlchart.v1.18" hidden="1">Chart!$B$2:$G$2</definedName>
    <definedName name="_xlchart.v1.19" hidden="1">Chart!$B$3:$G$3</definedName>
    <definedName name="_xlchart.v1.2" hidden="1">Chart!$A$4</definedName>
    <definedName name="_xlchart.v1.20" hidden="1">Chart!$B$4:$G$4</definedName>
    <definedName name="_xlchart.v1.3" hidden="1">Chart!$B$1:$G$1</definedName>
    <definedName name="_xlchart.v1.4" hidden="1">Chart!$B$2:$G$2</definedName>
    <definedName name="_xlchart.v1.5" hidden="1">Chart!$B$3:$G$3</definedName>
    <definedName name="_xlchart.v1.6" hidden="1">Chart!$B$4:$G$4</definedName>
    <definedName name="_xlchart.v1.7" hidden="1">Chart!$A$2</definedName>
    <definedName name="_xlchart.v1.8" hidden="1">Chart!$A$3</definedName>
    <definedName name="_xlchart.v1.9" hidden="1">Chart!$A$4</definedName>
  </definedNames>
  <calcPr calcId="191029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I21" i="1"/>
  <c r="I22" i="1"/>
  <c r="I23" i="1"/>
  <c r="I24" i="1"/>
  <c r="I25" i="1"/>
  <c r="I26" i="1"/>
  <c r="I27" i="1"/>
  <c r="I28" i="1"/>
  <c r="I29" i="1"/>
  <c r="I30" i="1"/>
  <c r="I20" i="1"/>
  <c r="I3" i="1"/>
  <c r="I4" i="1"/>
  <c r="I5" i="1"/>
  <c r="I6" i="1"/>
  <c r="I7" i="1"/>
  <c r="I8" i="1"/>
  <c r="I9" i="1"/>
  <c r="I10" i="1"/>
  <c r="I2" i="1"/>
  <c r="G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H21" i="1"/>
  <c r="H22" i="1"/>
  <c r="H23" i="1"/>
  <c r="H24" i="1"/>
  <c r="H25" i="1"/>
  <c r="H26" i="1"/>
  <c r="H27" i="1"/>
  <c r="H28" i="1"/>
  <c r="H29" i="1"/>
  <c r="H30" i="1"/>
  <c r="H20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<sst xmlns="http://schemas.openxmlformats.org/spreadsheetml/2006/main" count="189" uniqueCount="93">
  <si>
    <t xml:space="preserve">    Name</t>
  </si>
  <si>
    <t>Type 1</t>
  </si>
  <si>
    <t>Speed</t>
  </si>
  <si>
    <t>Grass</t>
  </si>
  <si>
    <t>Fire</t>
  </si>
  <si>
    <t>Water</t>
  </si>
  <si>
    <t xml:space="preserve">    </t>
  </si>
  <si>
    <t>IF</t>
  </si>
  <si>
    <t>AND</t>
  </si>
  <si>
    <t>CONCAT</t>
  </si>
  <si>
    <t>Type 2</t>
  </si>
  <si>
    <t>Total stats</t>
  </si>
  <si>
    <t>Fighting</t>
  </si>
  <si>
    <t>Poison</t>
  </si>
  <si>
    <t>Electric</t>
  </si>
  <si>
    <t>Steel</t>
  </si>
  <si>
    <t>Ice</t>
  </si>
  <si>
    <t>Rock</t>
  </si>
  <si>
    <t>Ground</t>
  </si>
  <si>
    <t>Dragon</t>
  </si>
  <si>
    <t>Normal</t>
  </si>
  <si>
    <t>Flying</t>
  </si>
  <si>
    <t>Bug</t>
  </si>
  <si>
    <t>Ghost</t>
  </si>
  <si>
    <t>LEFT</t>
  </si>
  <si>
    <t>Bulbasaur</t>
  </si>
  <si>
    <t>Name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</si>
  <si>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</si>
  <si>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</si>
  <si>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</si>
  <si>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</si>
  <si>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</si>
  <si>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</si>
  <si>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</si>
  <si>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</si>
  <si>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Mankey</t>
  </si>
  <si>
    <t>Poliwrath</t>
  </si>
  <si>
    <t>Victreebel</t>
  </si>
  <si>
    <t>Tentacool</t>
  </si>
  <si>
    <t>Magneton</t>
  </si>
  <si>
    <t>Dewgong</t>
  </si>
  <si>
    <t>Cloyster</t>
  </si>
  <si>
    <t>Onix</t>
  </si>
  <si>
    <t>Dragonair</t>
  </si>
  <si>
    <t>Pidgeotto</t>
  </si>
  <si>
    <t>Rattata</t>
  </si>
  <si>
    <t>Beedrill</t>
  </si>
  <si>
    <t>Doduo</t>
  </si>
  <si>
    <t>Kingler</t>
  </si>
  <si>
    <t>Nidoqueen</t>
  </si>
  <si>
    <t>Hitmonchan</t>
  </si>
  <si>
    <t>Arbok</t>
  </si>
  <si>
    <t>Gastly</t>
  </si>
  <si>
    <t>Magikarp</t>
  </si>
  <si>
    <t>UPPER</t>
  </si>
  <si>
    <t>COUNTIF</t>
  </si>
  <si>
    <t>SUMIF</t>
  </si>
  <si>
    <t>#</t>
  </si>
  <si>
    <t>VLOOKUP</t>
  </si>
  <si>
    <t>HP</t>
  </si>
  <si>
    <t>Attack</t>
  </si>
  <si>
    <t>Defense</t>
  </si>
  <si>
    <t xml:space="preserve">  </t>
  </si>
  <si>
    <t xml:space="preserve">        Name</t>
  </si>
  <si>
    <t>Sp. Atk</t>
  </si>
  <si>
    <t>Sp. Def</t>
  </si>
  <si>
    <t xml:space="preserve">    Gen</t>
  </si>
  <si>
    <t>Avg HP</t>
  </si>
  <si>
    <t>Avg Attack</t>
  </si>
  <si>
    <t>Avg Defense</t>
  </si>
  <si>
    <t xml:space="preserve">    Gen 1</t>
  </si>
  <si>
    <t xml:space="preserve">    Gen 2</t>
  </si>
  <si>
    <t xml:space="preserve">    Gen 3</t>
  </si>
  <si>
    <t xml:space="preserve">    Gen 4</t>
  </si>
  <si>
    <t xml:space="preserve">    Gen 5</t>
  </si>
  <si>
    <t xml:space="preserve">    Gen 6</t>
  </si>
  <si>
    <t>Gyarados</t>
  </si>
  <si>
    <t>Lapras</t>
  </si>
  <si>
    <t>Ditto</t>
  </si>
  <si>
    <t>Eevee</t>
  </si>
  <si>
    <t>Vaporeon</t>
  </si>
  <si>
    <t>Jolteon</t>
  </si>
  <si>
    <t>Gen</t>
  </si>
  <si>
    <t>Row Labels</t>
  </si>
  <si>
    <t>Grand Total</t>
  </si>
  <si>
    <t>Sum of HP</t>
  </si>
  <si>
    <t>Sum of Attack</t>
  </si>
  <si>
    <t>Sum of Defense</t>
  </si>
  <si>
    <t>Sum of Sp. Atk</t>
  </si>
  <si>
    <t>Sum of Sp. Def</t>
  </si>
  <si>
    <t>Sum of Speed</t>
  </si>
  <si>
    <t>(All)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</si>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</sst>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0" borderId="0" xfId="0" applyNumberFormat="1"/>
    <xf numFmtId="17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Avg 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Chart!$B$2:$B$7</c:f>
              <c:numCache>
                <c:formatCode>#,##0.0</c:formatCode>
                <c:ptCount val="6"/>
                <c:pt idx="0">
                  <c:v>64.7</c:v>
                </c:pt>
                <c:pt idx="1">
                  <c:v>70.599999999999994</c:v>
                </c:pt>
                <c:pt idx="2">
                  <c:v>65.599999999999994</c:v>
                </c:pt>
                <c:pt idx="3">
                  <c:v>72.599999999999994</c:v>
                </c:pt>
                <c:pt idx="4">
                  <c:v>71.599999999999994</c:v>
                </c:pt>
                <c:pt idx="5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48-1B44-9CF7-774849F507B7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Avg Attack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Chart!$C$2:$C$7</c:f>
              <c:numCache>
                <c:formatCode>#,##0.0</c:formatCode>
                <c:ptCount val="6"/>
                <c:pt idx="0">
                  <c:v>73.900000000000006</c:v>
                </c:pt>
                <c:pt idx="1">
                  <c:v>68.3</c:v>
                </c:pt>
                <c:pt idx="2">
                  <c:v>75.8</c:v>
                </c:pt>
                <c:pt idx="3">
                  <c:v>80.5</c:v>
                </c:pt>
                <c:pt idx="4">
                  <c:v>82.2</c:v>
                </c:pt>
                <c:pt idx="5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48-1B44-9CF7-774849F507B7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Avg Defense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Chart!$D$2:$D$7</c:f>
              <c:numCache>
                <c:formatCode>#,##0.0</c:formatCode>
                <c:ptCount val="6"/>
                <c:pt idx="0">
                  <c:v>69.599999999999994</c:v>
                </c:pt>
                <c:pt idx="1">
                  <c:v>69.5</c:v>
                </c:pt>
                <c:pt idx="2">
                  <c:v>70.5</c:v>
                </c:pt>
                <c:pt idx="3">
                  <c:v>77.3</c:v>
                </c:pt>
                <c:pt idx="4">
                  <c:v>72</c:v>
                </c:pt>
                <c:pt idx="5">
                  <c:v>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48-1B44-9CF7-774849F507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003391"/>
        <c:axId val="230998015"/>
      </c:lineChart>
      <c:catAx>
        <c:axId val="23100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0998015"/>
        <c:crosses val="autoZero"/>
        <c:auto val="1"/>
        <c:lblAlgn val="ctr"/>
        <c:lblOffset val="100"/>
        <c:noMultiLvlLbl val="0"/>
      </c:catAx>
      <c:valAx>
        <c:axId val="2309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100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Avg 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Chart!$B$2:$B$7</c:f>
              <c:numCache>
                <c:formatCode>#,##0.0</c:formatCode>
                <c:ptCount val="6"/>
                <c:pt idx="0">
                  <c:v>64.7</c:v>
                </c:pt>
                <c:pt idx="1">
                  <c:v>70.599999999999994</c:v>
                </c:pt>
                <c:pt idx="2">
                  <c:v>65.599999999999994</c:v>
                </c:pt>
                <c:pt idx="3">
                  <c:v>72.599999999999994</c:v>
                </c:pt>
                <c:pt idx="4">
                  <c:v>71.599999999999994</c:v>
                </c:pt>
                <c:pt idx="5">
                  <c:v>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92-B04A-A773-60181A4C8A94}"/>
            </c:ext>
          </c:extLst>
        </c:ser>
        <c:ser>
          <c:idx val="1"/>
          <c:order val="1"/>
          <c:tx>
            <c:strRef>
              <c:f>Chart!$C$1</c:f>
              <c:strCache>
                <c:ptCount val="1"/>
                <c:pt idx="0">
                  <c:v>Avg Attack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Chart!$C$2:$C$7</c:f>
              <c:numCache>
                <c:formatCode>#,##0.0</c:formatCode>
                <c:ptCount val="6"/>
                <c:pt idx="0">
                  <c:v>73.900000000000006</c:v>
                </c:pt>
                <c:pt idx="1">
                  <c:v>68.3</c:v>
                </c:pt>
                <c:pt idx="2">
                  <c:v>75.8</c:v>
                </c:pt>
                <c:pt idx="3">
                  <c:v>80.5</c:v>
                </c:pt>
                <c:pt idx="4">
                  <c:v>82.2</c:v>
                </c:pt>
                <c:pt idx="5">
                  <c:v>74.8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92-B04A-A773-60181A4C8A94}"/>
            </c:ext>
          </c:extLst>
        </c:ser>
        <c:ser>
          <c:idx val="2"/>
          <c:order val="2"/>
          <c:tx>
            <c:strRef>
              <c:f>Chart!$D$1</c:f>
              <c:strCache>
                <c:ptCount val="1"/>
                <c:pt idx="0">
                  <c:v>Avg Defense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Chart!$A$2:$A$7</c:f>
              <c:strCache>
                <c:ptCount val="6"/>
                <c:pt idx="0">
                  <c:v>    Gen 1</c:v>
                </c:pt>
                <c:pt idx="1">
                  <c:v>    Gen 2</c:v>
                </c:pt>
                <c:pt idx="2">
                  <c:v>    Gen 3</c:v>
                </c:pt>
                <c:pt idx="3">
                  <c:v>    Gen 4</c:v>
                </c:pt>
                <c:pt idx="4">
                  <c:v>    Gen 5</c:v>
                </c:pt>
                <c:pt idx="5">
                  <c:v>    Gen 6</c:v>
                </c:pt>
              </c:strCache>
            </c:strRef>
          </c:cat>
          <c:val>
            <c:numRef>
              <c:f>Chart!$D$2:$D$7</c:f>
              <c:numCache>
                <c:formatCode>#,##0.0</c:formatCode>
                <c:ptCount val="6"/>
                <c:pt idx="0">
                  <c:v>69.599999999999994</c:v>
                </c:pt>
                <c:pt idx="1">
                  <c:v>69.5</c:v>
                </c:pt>
                <c:pt idx="2">
                  <c:v>70.5</c:v>
                </c:pt>
                <c:pt idx="3">
                  <c:v>77.3</c:v>
                </c:pt>
                <c:pt idx="4">
                  <c:v>72</c:v>
                </c:pt>
                <c:pt idx="5">
                  <c:v>76.3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92-B04A-A773-60181A4C8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951359"/>
        <c:axId val="228963007"/>
      </c:lineChart>
      <c:catAx>
        <c:axId val="22895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3007"/>
        <c:crosses val="autoZero"/>
        <c:auto val="1"/>
        <c:lblAlgn val="ctr"/>
        <c:lblOffset val="100"/>
        <c:noMultiLvlLbl val="0"/>
      </c:catAx>
      <c:valAx>
        <c:axId val="22896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5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237900</xdr:colOff>
      <xdr:row>10</xdr:row>
      <xdr:rowOff>134767</xdr:rowOff>
    </xdr:from>
    <xdr:to>
      <xdr:col>3</xdr:col>
      <xdr:colOff>238260</xdr:colOff>
      <xdr:row>10</xdr:row>
      <xdr:rowOff>135127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91F31FE-8EC3-ADF3-A192-5E3E4BCE656C}"/>
                </a:ext>
              </a:extLst>
            </xdr14:cNvPr>
            <xdr14:cNvContentPartPr/>
          </xdr14:nvContentPartPr>
          <xdr14:nvPr macro=""/>
          <xdr14:xfrm>
            <a:off x="2714400" y="214560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91F31FE-8EC3-ADF3-A192-5E3E4BCE656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708280" y="21394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</xdr:col>
      <xdr:colOff>312208</xdr:colOff>
      <xdr:row>10</xdr:row>
      <xdr:rowOff>51859</xdr:rowOff>
    </xdr:from>
    <xdr:to>
      <xdr:col>11</xdr:col>
      <xdr:colOff>756708</xdr:colOff>
      <xdr:row>23</xdr:row>
      <xdr:rowOff>180975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240B33F-E025-2F9B-2E2C-E5771B8261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354542</xdr:colOff>
      <xdr:row>9</xdr:row>
      <xdr:rowOff>200025</xdr:rowOff>
    </xdr:from>
    <xdr:to>
      <xdr:col>5</xdr:col>
      <xdr:colOff>799042</xdr:colOff>
      <xdr:row>23</xdr:row>
      <xdr:rowOff>128058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9996B66-3B22-F6B1-C8D0-58744FD50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0T10:14:49.3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24575,'0'0'0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SHMI C" refreshedDate="46124.52246064815" createdVersion="8" refreshedVersion="8" minRefreshableVersion="3" recordCount="27" xr:uid="{552A04C9-2514-ED43-AC71-A7E0001E85CF}">
  <cacheSource type="worksheet">
    <worksheetSource ref="A1:I28" sheet="Pivot"/>
  </cacheSource>
  <cacheFields count="9">
    <cacheField name="        Name" numFmtId="0">
      <sharedItems count="26">
        <s v="Magikarp"/>
        <s v="Gyarados"/>
        <s v="Lapras"/>
        <s v="Ditto"/>
        <s v="Eevee"/>
        <s v="Vaporeon"/>
        <s v="Jolteon"/>
        <s v="Mankey"/>
        <s v="Poliwrath"/>
        <s v="Victreebel"/>
        <s v="Tentacool"/>
        <s v="Magneton"/>
        <s v="Dewgong"/>
        <s v="Cloyster"/>
        <s v="Onix"/>
        <s v="Dragonair"/>
        <s v="Pidgeotto"/>
        <s v="Rattata"/>
        <s v="Beedrill"/>
        <s v="Doduo"/>
        <s v="Kingler"/>
        <s v="Nidoqueen"/>
        <s v="Hitmonchan"/>
        <s v="Charmeleon"/>
        <s v="Arbok"/>
        <s v="Gastly"/>
      </sharedItems>
    </cacheField>
    <cacheField name="Type 1" numFmtId="0">
      <sharedItems count="12">
        <s v="Water"/>
        <s v="Normal"/>
        <s v="Electric"/>
        <s v="Fighting"/>
        <s v="Grass"/>
        <s v="Rock"/>
        <s v="Dragon"/>
        <s v="Bug"/>
        <s v="Poison"/>
        <s v="Fire"/>
        <s v="Ghost"/>
        <s v="asd"/>
      </sharedItems>
    </cacheField>
    <cacheField name="Gen" numFmtId="0">
      <sharedItems containsSemiMixedTypes="0" containsString="0" containsNumber="1" containsInteger="1" minValue="0" maxValue="9" count="9">
        <n v="3"/>
        <n v="0"/>
        <n v="6"/>
        <n v="9"/>
        <n v="1"/>
        <n v="4"/>
        <n v="5"/>
        <n v="7"/>
        <n v="8"/>
      </sharedItems>
    </cacheField>
    <cacheField name="HP" numFmtId="0">
      <sharedItems containsSemiMixedTypes="0" containsString="0" containsNumber="1" containsInteger="1" minValue="6" maxValue="130"/>
    </cacheField>
    <cacheField name="Attack" numFmtId="0">
      <sharedItems containsSemiMixedTypes="0" containsString="0" containsNumber="1" containsInteger="1" minValue="0" maxValue="125"/>
    </cacheField>
    <cacheField name="Defense" numFmtId="0">
      <sharedItems containsSemiMixedTypes="0" containsString="0" containsNumber="1" containsInteger="1" minValue="3" maxValue="97"/>
    </cacheField>
    <cacheField name="Sp. Atk" numFmtId="0">
      <sharedItems containsSemiMixedTypes="0" containsString="0" containsNumber="1" containsInteger="1" minValue="15" maxValue="110"/>
    </cacheField>
    <cacheField name="Sp. Def" numFmtId="0">
      <sharedItems containsSemiMixedTypes="0" containsString="0" containsNumber="1" containsInteger="1" minValue="16" maxValue="100"/>
    </cacheField>
    <cacheField name="Speed" numFmtId="0">
      <sharedItems containsSemiMixedTypes="0" containsString="0" containsNumber="1" containsInteger="1" minValue="0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x v="0"/>
    <n v="20"/>
    <n v="10"/>
    <n v="55"/>
    <n v="15"/>
    <n v="20"/>
    <n v="80"/>
  </r>
  <r>
    <x v="1"/>
    <x v="0"/>
    <x v="1"/>
    <n v="95"/>
    <n v="125"/>
    <n v="79"/>
    <n v="60"/>
    <n v="100"/>
    <n v="81"/>
  </r>
  <r>
    <x v="2"/>
    <x v="0"/>
    <x v="2"/>
    <n v="130"/>
    <n v="85"/>
    <n v="80"/>
    <n v="85"/>
    <n v="95"/>
    <n v="60"/>
  </r>
  <r>
    <x v="3"/>
    <x v="1"/>
    <x v="3"/>
    <n v="48"/>
    <n v="48"/>
    <n v="48"/>
    <n v="48"/>
    <n v="48"/>
    <n v="48"/>
  </r>
  <r>
    <x v="4"/>
    <x v="1"/>
    <x v="3"/>
    <n v="55"/>
    <n v="55"/>
    <n v="50"/>
    <n v="45"/>
    <n v="65"/>
    <n v="55"/>
  </r>
  <r>
    <x v="5"/>
    <x v="0"/>
    <x v="4"/>
    <n v="130"/>
    <n v="65"/>
    <n v="60"/>
    <n v="110"/>
    <n v="95"/>
    <n v="65"/>
  </r>
  <r>
    <x v="6"/>
    <x v="2"/>
    <x v="1"/>
    <n v="65"/>
    <n v="65"/>
    <n v="60"/>
    <n v="110"/>
    <n v="95"/>
    <n v="130"/>
  </r>
  <r>
    <x v="7"/>
    <x v="3"/>
    <x v="5"/>
    <n v="14"/>
    <n v="68"/>
    <n v="54"/>
    <n v="89"/>
    <n v="99"/>
    <n v="36"/>
  </r>
  <r>
    <x v="8"/>
    <x v="0"/>
    <x v="2"/>
    <n v="71"/>
    <n v="85"/>
    <n v="61"/>
    <n v="28"/>
    <n v="62"/>
    <n v="69"/>
  </r>
  <r>
    <x v="9"/>
    <x v="4"/>
    <x v="6"/>
    <n v="63"/>
    <n v="95"/>
    <n v="41"/>
    <n v="46"/>
    <n v="93"/>
    <n v="0"/>
  </r>
  <r>
    <x v="10"/>
    <x v="0"/>
    <x v="0"/>
    <n v="29"/>
    <n v="33"/>
    <n v="95"/>
    <n v="54"/>
    <n v="97"/>
    <n v="35"/>
  </r>
  <r>
    <x v="11"/>
    <x v="2"/>
    <x v="3"/>
    <n v="26"/>
    <n v="62"/>
    <n v="74"/>
    <n v="65"/>
    <n v="16"/>
    <n v="81"/>
  </r>
  <r>
    <x v="12"/>
    <x v="0"/>
    <x v="7"/>
    <n v="92"/>
    <n v="0"/>
    <n v="86"/>
    <n v="81"/>
    <n v="79"/>
    <n v="26"/>
  </r>
  <r>
    <x v="13"/>
    <x v="0"/>
    <x v="8"/>
    <n v="9"/>
    <n v="55"/>
    <n v="41"/>
    <n v="69"/>
    <n v="25"/>
    <n v="91"/>
  </r>
  <r>
    <x v="14"/>
    <x v="5"/>
    <x v="6"/>
    <n v="36"/>
    <n v="89"/>
    <n v="91"/>
    <n v="94"/>
    <n v="82"/>
    <n v="43"/>
  </r>
  <r>
    <x v="15"/>
    <x v="6"/>
    <x v="7"/>
    <n v="62"/>
    <n v="59"/>
    <n v="83"/>
    <n v="66"/>
    <n v="65"/>
    <n v="42"/>
  </r>
  <r>
    <x v="16"/>
    <x v="1"/>
    <x v="1"/>
    <n v="6"/>
    <n v="47"/>
    <n v="77"/>
    <n v="71"/>
    <n v="38"/>
    <n v="43"/>
  </r>
  <r>
    <x v="17"/>
    <x v="1"/>
    <x v="4"/>
    <n v="83"/>
    <n v="14"/>
    <n v="73"/>
    <n v="55"/>
    <n v="32"/>
    <n v="4"/>
  </r>
  <r>
    <x v="18"/>
    <x v="7"/>
    <x v="8"/>
    <n v="66"/>
    <n v="43"/>
    <n v="3"/>
    <n v="19"/>
    <n v="49"/>
    <n v="43"/>
  </r>
  <r>
    <x v="19"/>
    <x v="1"/>
    <x v="6"/>
    <n v="44"/>
    <n v="50"/>
    <n v="97"/>
    <n v="53"/>
    <n v="74"/>
    <n v="11"/>
  </r>
  <r>
    <x v="20"/>
    <x v="0"/>
    <x v="0"/>
    <n v="96"/>
    <n v="37"/>
    <n v="44"/>
    <n v="59"/>
    <n v="46"/>
    <n v="12"/>
  </r>
  <r>
    <x v="21"/>
    <x v="8"/>
    <x v="5"/>
    <n v="56"/>
    <n v="39"/>
    <n v="35"/>
    <n v="51"/>
    <n v="44"/>
    <n v="6"/>
  </r>
  <r>
    <x v="22"/>
    <x v="3"/>
    <x v="1"/>
    <n v="44"/>
    <n v="76"/>
    <n v="85"/>
    <n v="32"/>
    <n v="73"/>
    <n v="57"/>
  </r>
  <r>
    <x v="23"/>
    <x v="9"/>
    <x v="4"/>
    <n v="18"/>
    <n v="63"/>
    <n v="46"/>
    <n v="36"/>
    <n v="32"/>
    <n v="85"/>
  </r>
  <r>
    <x v="24"/>
    <x v="8"/>
    <x v="7"/>
    <n v="70"/>
    <n v="64"/>
    <n v="78"/>
    <n v="83"/>
    <n v="52"/>
    <n v="99"/>
  </r>
  <r>
    <x v="25"/>
    <x v="10"/>
    <x v="6"/>
    <n v="51"/>
    <n v="0"/>
    <n v="7"/>
    <n v="15"/>
    <n v="16"/>
    <n v="58"/>
  </r>
  <r>
    <x v="1"/>
    <x v="11"/>
    <x v="1"/>
    <n v="34"/>
    <n v="45"/>
    <n v="67"/>
    <n v="34"/>
    <n v="89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C6ED6-FD35-9F4D-8BBD-A75D1AC55BBC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9" firstHeaderRow="0" firstDataRow="1" firstDataCol="1" rowPageCount="2" colPageCount="1"/>
  <pivotFields count="9">
    <pivotField axis="axisRow" showAll="0">
      <items count="27">
        <item x="24"/>
        <item x="18"/>
        <item x="23"/>
        <item x="13"/>
        <item x="12"/>
        <item x="3"/>
        <item x="19"/>
        <item x="15"/>
        <item x="4"/>
        <item x="25"/>
        <item x="1"/>
        <item x="22"/>
        <item x="6"/>
        <item x="20"/>
        <item x="2"/>
        <item x="0"/>
        <item x="11"/>
        <item x="7"/>
        <item x="21"/>
        <item x="14"/>
        <item x="16"/>
        <item x="8"/>
        <item x="17"/>
        <item x="10"/>
        <item x="5"/>
        <item x="9"/>
        <item t="default"/>
      </items>
    </pivotField>
    <pivotField axis="axisPage" showAll="0">
      <items count="13">
        <item x="7"/>
        <item x="6"/>
        <item x="2"/>
        <item x="3"/>
        <item x="9"/>
        <item x="10"/>
        <item x="4"/>
        <item x="1"/>
        <item x="8"/>
        <item x="5"/>
        <item x="0"/>
        <item x="11"/>
        <item t="default"/>
      </items>
    </pivotField>
    <pivotField axis="axisPage" multipleItemSelectionAllowed="1" showAll="0">
      <items count="10">
        <item x="1"/>
        <item h="1" x="4"/>
        <item h="1" x="0"/>
        <item h="1" x="5"/>
        <item h="1" x="6"/>
        <item h="1" x="2"/>
        <item h="1" x="7"/>
        <item h="1" x="8"/>
        <item h="1" x="3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5">
    <i>
      <x v="10"/>
    </i>
    <i>
      <x v="11"/>
    </i>
    <i>
      <x v="12"/>
    </i>
    <i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2" hier="-1"/>
    <pageField fld="1" hier="-1"/>
  </pageFields>
  <dataFields count="6">
    <dataField name="Sum of HP" fld="3" baseField="0" baseItem="0"/>
    <dataField name="Sum of Attack" fld="4" baseField="0" baseItem="0"/>
    <dataField name="Sum of Defense" fld="5" baseField="0" baseItem="0"/>
    <dataField name="Sum of Sp. Atk" fld="6" baseField="0" baseItem="0"/>
    <dataField name="Sum of Sp. Def" fld="7" baseField="0" baseItem="0"/>
    <dataField name="Sum of Spee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FD4E-0EFB-1F4F-855F-0FD0BDDFC006}">
  <dimension ref="A1:K37"/>
  <sheetViews>
    <sheetView zoomScale="130" zoomScaleNormal="130" workbookViewId="0">
      <selection activeCell="B17" sqref="B17:C36"/>
    </sheetView>
  </sheetViews>
  <sheetFormatPr baseColWidth="10" defaultRowHeight="16" x14ac:dyDescent="0.2"/>
  <cols>
    <col min="6" max="6" width="30.5" bestFit="1" customWidth="1"/>
    <col min="7" max="7" width="13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24</v>
      </c>
      <c r="H1" t="s">
        <v>54</v>
      </c>
    </row>
    <row r="2" spans="1:9" x14ac:dyDescent="0.2">
      <c r="A2" t="s">
        <v>25</v>
      </c>
      <c r="B2" t="s">
        <v>3</v>
      </c>
      <c r="C2">
        <v>45</v>
      </c>
      <c r="D2" t="str">
        <f>IF(B2="Fire", "Yes", "No")</f>
        <v>No</v>
      </c>
      <c r="E2" t="str">
        <f>IF(AND(B2="Fire",C2&gt;70), "Yes", "No")</f>
        <v>No</v>
      </c>
      <c r="F2" t="str">
        <f>_xlfn.CONCAT("This goes as… ", A2, " | ", B2)</f>
        <v>This goes as… Bulbasaur | Grass</v>
      </c>
      <c r="G2" t="str">
        <f>LEFT(A2, 3)</f>
        <v>Bul</v>
      </c>
      <c r="H2" t="str">
        <f>UPPER(A2)</f>
        <v>BULBASAUR</v>
      </c>
      <c r="I2" s="1" t="str">
        <f>IF(OR(B2="Fire", C2&gt;=80), "yess", "noo")</f>
        <v>noo</v>
      </c>
    </row>
    <row r="3" spans="1:9" x14ac:dyDescent="0.2">
      <c r="A3" t="s">
        <v>27</v>
      </c>
      <c r="B3" t="s">
        <v>3</v>
      </c>
      <c r="C3">
        <v>60</v>
      </c>
      <c r="D3" t="str">
        <f t="shared" ref="D3:D10" si="0">IF(B3="Fire", "Yes", "No")</f>
        <v>No</v>
      </c>
      <c r="E3" t="str">
        <f t="shared" ref="E3:E10" si="1">IF(AND(B3="Fire",C3&gt;70), "Yes", "No")</f>
        <v>No</v>
      </c>
      <c r="F3" t="str">
        <f t="shared" ref="F3:F10" si="2">_xlfn.CONCAT("This goes as… ", A3, " | ", B3)</f>
        <v>This goes as… Ivysaur | Grass</v>
      </c>
      <c r="G3" t="str">
        <f t="shared" ref="G3:G11" si="3">LEFT(A3, 3)</f>
        <v>Ivy</v>
      </c>
      <c r="H3" t="str">
        <f t="shared" ref="H3:H11" si="4">UPPER(A3)</f>
        <v>IVYSAUR</v>
      </c>
      <c r="I3" s="1" t="str">
        <f t="shared" ref="I3:I10" si="5">IF(OR(B3="Fire", C3&gt;=80), "yess", "noo")</f>
        <v>noo</v>
      </c>
    </row>
    <row r="4" spans="1:9" x14ac:dyDescent="0.2">
      <c r="A4" t="s">
        <v>28</v>
      </c>
      <c r="B4" t="s">
        <v>3</v>
      </c>
      <c r="C4">
        <v>80</v>
      </c>
      <c r="D4" t="str">
        <f t="shared" si="0"/>
        <v>No</v>
      </c>
      <c r="E4" t="str">
        <f t="shared" si="1"/>
        <v>No</v>
      </c>
      <c r="F4" t="str">
        <f t="shared" si="2"/>
        <v>This goes as… Venusaur | Grass</v>
      </c>
      <c r="G4" t="str">
        <f t="shared" si="3"/>
        <v>Ven</v>
      </c>
      <c r="H4" t="str">
        <f t="shared" si="4"/>
        <v>VENUSAUR</v>
      </c>
      <c r="I4" s="1" t="str">
        <f t="shared" si="5"/>
        <v>yess</v>
      </c>
    </row>
    <row r="5" spans="1:9" x14ac:dyDescent="0.2">
      <c r="A5" t="s">
        <v>29</v>
      </c>
      <c r="B5" t="s">
        <v>4</v>
      </c>
      <c r="C5">
        <v>65</v>
      </c>
      <c r="D5" t="str">
        <f t="shared" si="0"/>
        <v>Yes</v>
      </c>
      <c r="E5" t="str">
        <f t="shared" si="1"/>
        <v>No</v>
      </c>
      <c r="F5" t="str">
        <f t="shared" si="2"/>
        <v>This goes as… Charmander | Fire</v>
      </c>
      <c r="G5" t="str">
        <f t="shared" si="3"/>
        <v>Cha</v>
      </c>
      <c r="H5" t="str">
        <f t="shared" si="4"/>
        <v>CHARMANDER</v>
      </c>
      <c r="I5" s="1" t="str">
        <f t="shared" si="5"/>
        <v>yess</v>
      </c>
    </row>
    <row r="6" spans="1:9" x14ac:dyDescent="0.2">
      <c r="A6" t="s">
        <v>30</v>
      </c>
      <c r="B6" t="s">
        <v>4</v>
      </c>
      <c r="C6">
        <v>80</v>
      </c>
      <c r="D6" t="str">
        <f t="shared" si="0"/>
        <v>Yes</v>
      </c>
      <c r="E6" t="str">
        <f t="shared" si="1"/>
        <v>Yes</v>
      </c>
      <c r="F6" t="str">
        <f t="shared" si="2"/>
        <v>This goes as… Charmeleon | Fire</v>
      </c>
      <c r="G6" t="str">
        <f t="shared" si="3"/>
        <v>Cha</v>
      </c>
      <c r="H6" t="str">
        <f t="shared" si="4"/>
        <v>CHARMELEON</v>
      </c>
      <c r="I6" s="1" t="str">
        <f t="shared" si="5"/>
        <v>yess</v>
      </c>
    </row>
    <row r="7" spans="1:9" x14ac:dyDescent="0.2">
      <c r="A7" t="s">
        <v>31</v>
      </c>
      <c r="B7" t="s">
        <v>4</v>
      </c>
      <c r="C7">
        <v>100</v>
      </c>
      <c r="D7" t="str">
        <f t="shared" si="0"/>
        <v>Yes</v>
      </c>
      <c r="E7" t="str">
        <f t="shared" si="1"/>
        <v>Yes</v>
      </c>
      <c r="F7" t="str">
        <f t="shared" si="2"/>
        <v>This goes as… Charizard | Fire</v>
      </c>
      <c r="G7" t="str">
        <f t="shared" si="3"/>
        <v>Cha</v>
      </c>
      <c r="H7" t="str">
        <f t="shared" si="4"/>
        <v>CHARIZARD</v>
      </c>
      <c r="I7" s="1" t="str">
        <f t="shared" si="5"/>
        <v>yess</v>
      </c>
    </row>
    <row r="8" spans="1:9" x14ac:dyDescent="0.2">
      <c r="A8" t="s">
        <v>32</v>
      </c>
      <c r="B8" t="s">
        <v>5</v>
      </c>
      <c r="C8">
        <v>43</v>
      </c>
      <c r="D8" t="str">
        <f t="shared" si="0"/>
        <v>No</v>
      </c>
      <c r="E8" t="str">
        <f t="shared" si="1"/>
        <v>No</v>
      </c>
      <c r="F8" t="str">
        <f t="shared" si="2"/>
        <v>This goes as… Squirtle | Water</v>
      </c>
      <c r="G8" t="str">
        <f t="shared" si="3"/>
        <v>Squ</v>
      </c>
      <c r="H8" t="str">
        <f t="shared" si="4"/>
        <v>SQUIRTLE</v>
      </c>
      <c r="I8" s="1" t="str">
        <f t="shared" si="5"/>
        <v>noo</v>
      </c>
    </row>
    <row r="9" spans="1:9" x14ac:dyDescent="0.2">
      <c r="A9" t="s">
        <v>33</v>
      </c>
      <c r="B9" t="s">
        <v>5</v>
      </c>
      <c r="C9">
        <v>58</v>
      </c>
      <c r="D9" t="str">
        <f t="shared" si="0"/>
        <v>No</v>
      </c>
      <c r="E9" t="str">
        <f t="shared" si="1"/>
        <v>No</v>
      </c>
      <c r="F9" t="str">
        <f t="shared" si="2"/>
        <v>This goes as… Wartortle | Water</v>
      </c>
      <c r="G9" t="str">
        <f t="shared" si="3"/>
        <v>War</v>
      </c>
      <c r="H9" t="str">
        <f t="shared" si="4"/>
        <v>WARTORTLE</v>
      </c>
      <c r="I9" s="1" t="str">
        <f t="shared" si="5"/>
        <v>noo</v>
      </c>
    </row>
    <row r="10" spans="1:9" x14ac:dyDescent="0.2">
      <c r="A10" t="s">
        <v>34</v>
      </c>
      <c r="B10" t="s">
        <v>5</v>
      </c>
      <c r="C10">
        <v>78</v>
      </c>
      <c r="D10" t="str">
        <f t="shared" si="0"/>
        <v>No</v>
      </c>
      <c r="E10" t="str">
        <f t="shared" si="1"/>
        <v>No</v>
      </c>
      <c r="F10" t="str">
        <f t="shared" si="2"/>
        <v>This goes as… Blastoise | Water</v>
      </c>
      <c r="G10" t="str">
        <f t="shared" si="3"/>
        <v>Bla</v>
      </c>
      <c r="H10" t="str">
        <f t="shared" si="4"/>
        <v>BLASTOISE</v>
      </c>
      <c r="I10" s="1" t="str">
        <f t="shared" si="5"/>
        <v>noo</v>
      </c>
    </row>
    <row r="11" spans="1:9" x14ac:dyDescent="0.2">
      <c r="A11" t="s">
        <v>6</v>
      </c>
      <c r="G11" t="str">
        <f t="shared" si="3"/>
        <v xml:space="preserve">   </v>
      </c>
      <c r="H11" t="str">
        <f t="shared" si="4"/>
        <v xml:space="preserve">    </v>
      </c>
      <c r="I11" s="1"/>
    </row>
    <row r="16" spans="1:9" x14ac:dyDescent="0.2">
      <c r="A16" t="s">
        <v>57</v>
      </c>
      <c r="B16" t="s">
        <v>26</v>
      </c>
      <c r="C16" t="s">
        <v>1</v>
      </c>
      <c r="D16" t="s">
        <v>10</v>
      </c>
      <c r="E16" t="s">
        <v>11</v>
      </c>
    </row>
    <row r="17" spans="1:11" x14ac:dyDescent="0.2">
      <c r="A17">
        <v>1</v>
      </c>
      <c r="B17" t="s">
        <v>35</v>
      </c>
      <c r="C17" t="s">
        <v>12</v>
      </c>
      <c r="E17">
        <v>305</v>
      </c>
    </row>
    <row r="18" spans="1:11" x14ac:dyDescent="0.2">
      <c r="A18">
        <v>2</v>
      </c>
      <c r="B18" t="s">
        <v>36</v>
      </c>
      <c r="C18" t="s">
        <v>5</v>
      </c>
      <c r="D18" t="s">
        <v>12</v>
      </c>
      <c r="E18">
        <v>510</v>
      </c>
    </row>
    <row r="19" spans="1:11" x14ac:dyDescent="0.2">
      <c r="A19">
        <v>3</v>
      </c>
      <c r="B19" t="s">
        <v>37</v>
      </c>
      <c r="C19" t="s">
        <v>3</v>
      </c>
      <c r="D19" t="s">
        <v>13</v>
      </c>
      <c r="E19">
        <v>490</v>
      </c>
      <c r="H19" t="s">
        <v>55</v>
      </c>
      <c r="I19" t="s">
        <v>56</v>
      </c>
      <c r="J19" s="2" t="s">
        <v>58</v>
      </c>
      <c r="K19" s="2">
        <v>4</v>
      </c>
    </row>
    <row r="20" spans="1:11" x14ac:dyDescent="0.2">
      <c r="A20">
        <v>4</v>
      </c>
      <c r="B20" t="s">
        <v>38</v>
      </c>
      <c r="C20" t="s">
        <v>5</v>
      </c>
      <c r="D20" t="s">
        <v>13</v>
      </c>
      <c r="E20">
        <v>335</v>
      </c>
      <c r="G20" t="s">
        <v>3</v>
      </c>
      <c r="H20">
        <f t="shared" ref="H20:H30" si="6">COUNTIF(C$17:C$36, G20)</f>
        <v>1</v>
      </c>
      <c r="I20">
        <f t="shared" ref="I20:I30" si="7">SUMIF(C$17:C$36, G20, E$17:E$36)</f>
        <v>490</v>
      </c>
      <c r="J20" t="str">
        <f>VLOOKUP(K19, A17:E36, 2, 0)</f>
        <v>Tentacool</v>
      </c>
    </row>
    <row r="21" spans="1:11" x14ac:dyDescent="0.2">
      <c r="A21">
        <v>5</v>
      </c>
      <c r="B21" t="s">
        <v>39</v>
      </c>
      <c r="C21" t="s">
        <v>14</v>
      </c>
      <c r="D21" t="s">
        <v>15</v>
      </c>
      <c r="E21">
        <v>465</v>
      </c>
      <c r="G21" t="s">
        <v>5</v>
      </c>
      <c r="H21">
        <f t="shared" si="6"/>
        <v>6</v>
      </c>
      <c r="I21">
        <f t="shared" si="7"/>
        <v>2520</v>
      </c>
    </row>
    <row r="22" spans="1:11" x14ac:dyDescent="0.2">
      <c r="A22">
        <v>6</v>
      </c>
      <c r="B22" t="s">
        <v>40</v>
      </c>
      <c r="C22" t="s">
        <v>5</v>
      </c>
      <c r="D22" t="s">
        <v>16</v>
      </c>
      <c r="E22">
        <v>475</v>
      </c>
      <c r="G22" t="s">
        <v>14</v>
      </c>
      <c r="H22">
        <f t="shared" si="6"/>
        <v>1</v>
      </c>
      <c r="I22">
        <f t="shared" si="7"/>
        <v>465</v>
      </c>
    </row>
    <row r="23" spans="1:11" x14ac:dyDescent="0.2">
      <c r="A23">
        <v>7</v>
      </c>
      <c r="B23" t="s">
        <v>41</v>
      </c>
      <c r="C23" t="s">
        <v>5</v>
      </c>
      <c r="D23" t="s">
        <v>16</v>
      </c>
      <c r="E23">
        <v>525</v>
      </c>
      <c r="G23" t="s">
        <v>12</v>
      </c>
      <c r="H23">
        <f t="shared" si="6"/>
        <v>2</v>
      </c>
      <c r="I23">
        <f t="shared" si="7"/>
        <v>760</v>
      </c>
    </row>
    <row r="24" spans="1:11" x14ac:dyDescent="0.2">
      <c r="A24">
        <v>8</v>
      </c>
      <c r="B24" t="s">
        <v>42</v>
      </c>
      <c r="C24" t="s">
        <v>17</v>
      </c>
      <c r="D24" t="s">
        <v>18</v>
      </c>
      <c r="E24">
        <v>385</v>
      </c>
      <c r="G24" t="s">
        <v>17</v>
      </c>
      <c r="H24">
        <f t="shared" si="6"/>
        <v>1</v>
      </c>
      <c r="I24">
        <f t="shared" si="7"/>
        <v>385</v>
      </c>
    </row>
    <row r="25" spans="1:11" x14ac:dyDescent="0.2">
      <c r="A25">
        <v>9</v>
      </c>
      <c r="B25" t="s">
        <v>43</v>
      </c>
      <c r="C25" t="s">
        <v>19</v>
      </c>
      <c r="E25">
        <v>420</v>
      </c>
      <c r="G25" t="s">
        <v>19</v>
      </c>
      <c r="H25">
        <f t="shared" si="6"/>
        <v>1</v>
      </c>
      <c r="I25">
        <f t="shared" si="7"/>
        <v>420</v>
      </c>
    </row>
    <row r="26" spans="1:11" x14ac:dyDescent="0.2">
      <c r="A26">
        <v>10</v>
      </c>
      <c r="B26" t="s">
        <v>44</v>
      </c>
      <c r="C26" t="s">
        <v>20</v>
      </c>
      <c r="D26" t="s">
        <v>21</v>
      </c>
      <c r="E26">
        <v>349</v>
      </c>
      <c r="G26" t="s">
        <v>20</v>
      </c>
      <c r="H26">
        <f t="shared" si="6"/>
        <v>3</v>
      </c>
      <c r="I26">
        <f t="shared" si="7"/>
        <v>912</v>
      </c>
    </row>
    <row r="27" spans="1:11" x14ac:dyDescent="0.2">
      <c r="A27">
        <v>11</v>
      </c>
      <c r="B27" t="s">
        <v>45</v>
      </c>
      <c r="C27" t="s">
        <v>20</v>
      </c>
      <c r="E27">
        <v>253</v>
      </c>
      <c r="G27" t="s">
        <v>22</v>
      </c>
      <c r="H27">
        <f t="shared" si="6"/>
        <v>1</v>
      </c>
      <c r="I27">
        <f t="shared" si="7"/>
        <v>395</v>
      </c>
    </row>
    <row r="28" spans="1:11" x14ac:dyDescent="0.2">
      <c r="A28">
        <v>12</v>
      </c>
      <c r="B28" t="s">
        <v>46</v>
      </c>
      <c r="C28" t="s">
        <v>22</v>
      </c>
      <c r="D28" t="s">
        <v>13</v>
      </c>
      <c r="E28">
        <v>395</v>
      </c>
      <c r="G28" t="s">
        <v>13</v>
      </c>
      <c r="H28">
        <f t="shared" si="6"/>
        <v>2</v>
      </c>
      <c r="I28">
        <f t="shared" si="7"/>
        <v>943</v>
      </c>
    </row>
    <row r="29" spans="1:11" x14ac:dyDescent="0.2">
      <c r="A29">
        <v>13</v>
      </c>
      <c r="B29" t="s">
        <v>47</v>
      </c>
      <c r="C29" t="s">
        <v>20</v>
      </c>
      <c r="D29" t="s">
        <v>21</v>
      </c>
      <c r="E29">
        <v>310</v>
      </c>
      <c r="G29" t="s">
        <v>4</v>
      </c>
      <c r="H29">
        <f t="shared" si="6"/>
        <v>1</v>
      </c>
      <c r="I29">
        <f t="shared" si="7"/>
        <v>405</v>
      </c>
    </row>
    <row r="30" spans="1:11" x14ac:dyDescent="0.2">
      <c r="A30">
        <v>14</v>
      </c>
      <c r="B30" t="s">
        <v>48</v>
      </c>
      <c r="C30" t="s">
        <v>5</v>
      </c>
      <c r="E30">
        <v>475</v>
      </c>
      <c r="G30" t="s">
        <v>23</v>
      </c>
      <c r="H30">
        <f t="shared" si="6"/>
        <v>1</v>
      </c>
      <c r="I30">
        <f t="shared" si="7"/>
        <v>310</v>
      </c>
    </row>
    <row r="31" spans="1:11" x14ac:dyDescent="0.2">
      <c r="A31">
        <v>15</v>
      </c>
      <c r="B31" t="s">
        <v>49</v>
      </c>
      <c r="C31" t="s">
        <v>13</v>
      </c>
      <c r="D31" t="s">
        <v>18</v>
      </c>
      <c r="E31">
        <v>505</v>
      </c>
    </row>
    <row r="32" spans="1:11" x14ac:dyDescent="0.2">
      <c r="A32">
        <v>16</v>
      </c>
      <c r="B32" t="s">
        <v>50</v>
      </c>
      <c r="C32" t="s">
        <v>12</v>
      </c>
      <c r="E32">
        <v>455</v>
      </c>
    </row>
    <row r="33" spans="1:5" x14ac:dyDescent="0.2">
      <c r="A33">
        <v>17</v>
      </c>
      <c r="B33" t="s">
        <v>30</v>
      </c>
      <c r="C33" t="s">
        <v>4</v>
      </c>
      <c r="E33">
        <v>405</v>
      </c>
    </row>
    <row r="34" spans="1:5" x14ac:dyDescent="0.2">
      <c r="A34">
        <v>18</v>
      </c>
      <c r="B34" t="s">
        <v>51</v>
      </c>
      <c r="C34" t="s">
        <v>13</v>
      </c>
      <c r="E34">
        <v>438</v>
      </c>
    </row>
    <row r="35" spans="1:5" x14ac:dyDescent="0.2">
      <c r="A35">
        <v>19</v>
      </c>
      <c r="B35" t="s">
        <v>52</v>
      </c>
      <c r="C35" t="s">
        <v>23</v>
      </c>
      <c r="D35" t="s">
        <v>13</v>
      </c>
      <c r="E35">
        <v>310</v>
      </c>
    </row>
    <row r="36" spans="1:5" x14ac:dyDescent="0.2">
      <c r="A36">
        <v>20</v>
      </c>
      <c r="B36" t="s">
        <v>53</v>
      </c>
      <c r="C36" t="s">
        <v>5</v>
      </c>
      <c r="E36">
        <v>200</v>
      </c>
    </row>
    <row r="37" spans="1:5" x14ac:dyDescent="0.2">
      <c r="A37" t="s">
        <v>6</v>
      </c>
    </row>
  </sheetData>
  <autoFilter ref="A16:E37" xr:uid="{FE23FD4E-0EFB-1F4F-855F-0FD0BDDFC006}"/>
  <phoneticPr fontId="1" type="noConversion"/>
  <pageMargins left="0.7" right="0.7" top="0.75" bottom="0.75" header="0.3" footer="0.3"/>
  <headerFooter>
    <oddHeader>&amp;L&amp;"Aptos"&amp;10&amp;K000000 Confidential - Oracle Restricted \Employees Only&amp;1#_x000D_</oddHeader>
    <oddFooter>&amp;L_x000D_&amp;1#&amp;"Aptos"&amp;10&amp;K000000 Confidential - Oracle Restricted \Employees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0EB9-F937-0B48-994F-DA15FB78C09C}">
  <dimension ref="A1:D10"/>
  <sheetViews>
    <sheetView zoomScale="120" zoomScaleNormal="120" workbookViewId="0">
      <selection activeCell="D7" sqref="A1:D7"/>
    </sheetView>
  </sheetViews>
  <sheetFormatPr baseColWidth="10" defaultRowHeight="16" x14ac:dyDescent="0.2"/>
  <cols>
    <col min="3" max="3" width="10.83203125" style="3"/>
  </cols>
  <sheetData>
    <row r="1" spans="1:4" x14ac:dyDescent="0.2">
      <c r="A1" t="s">
        <v>66</v>
      </c>
      <c r="B1" t="s">
        <v>67</v>
      </c>
      <c r="C1" s="3" t="s">
        <v>68</v>
      </c>
      <c r="D1" t="s">
        <v>69</v>
      </c>
    </row>
    <row r="2" spans="1:4" x14ac:dyDescent="0.2">
      <c r="A2" t="s">
        <v>70</v>
      </c>
      <c r="B2" s="4">
        <v>64.7</v>
      </c>
      <c r="C2" s="4">
        <v>73.900000000000006</v>
      </c>
      <c r="D2" s="4">
        <v>69.599999999999994</v>
      </c>
    </row>
    <row r="3" spans="1:4" x14ac:dyDescent="0.2">
      <c r="A3" t="s">
        <v>71</v>
      </c>
      <c r="B3" s="4">
        <v>70.599999999999994</v>
      </c>
      <c r="C3" s="4">
        <v>68.3</v>
      </c>
      <c r="D3" s="4">
        <v>69.5</v>
      </c>
    </row>
    <row r="4" spans="1:4" x14ac:dyDescent="0.2">
      <c r="A4" t="s">
        <v>72</v>
      </c>
      <c r="B4" s="4">
        <v>65.599999999999994</v>
      </c>
      <c r="C4" s="4">
        <v>75.8</v>
      </c>
      <c r="D4" s="4">
        <v>70.5</v>
      </c>
    </row>
    <row r="5" spans="1:4" x14ac:dyDescent="0.2">
      <c r="A5" t="s">
        <v>73</v>
      </c>
      <c r="B5" s="4">
        <v>72.599999999999994</v>
      </c>
      <c r="C5" s="4">
        <v>80.5</v>
      </c>
      <c r="D5" s="4">
        <v>77.3</v>
      </c>
    </row>
    <row r="6" spans="1:4" x14ac:dyDescent="0.2">
      <c r="A6" t="s">
        <v>74</v>
      </c>
      <c r="B6" s="4">
        <v>71.599999999999994</v>
      </c>
      <c r="C6" s="4">
        <v>82.2</v>
      </c>
      <c r="D6" s="4">
        <v>72</v>
      </c>
    </row>
    <row r="7" spans="1:4" x14ac:dyDescent="0.2">
      <c r="A7" t="s">
        <v>75</v>
      </c>
      <c r="B7" s="4">
        <v>68.5</v>
      </c>
      <c r="C7" s="4">
        <v>74.8</v>
      </c>
      <c r="D7" s="4">
        <v>76.3</v>
      </c>
    </row>
    <row r="8" spans="1:4" x14ac:dyDescent="0.2">
      <c r="A8" t="s">
        <v>62</v>
      </c>
    </row>
    <row r="10" spans="1:4" x14ac:dyDescent="0.2">
      <c r="A10" t="s">
        <v>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1074-88E1-FB4F-A872-3F1F0C1D0CBB}">
  <sheetPr filterMode="1"/>
  <dimension ref="A1:I28"/>
  <sheetViews>
    <sheetView zoomScale="120" zoomScaleNormal="120" workbookViewId="0">
      <selection activeCell="I3" sqref="I3:I28"/>
    </sheetView>
  </sheetViews>
  <sheetFormatPr baseColWidth="10" defaultRowHeight="16" x14ac:dyDescent="0.2"/>
  <sheetData>
    <row r="1" spans="1:9" x14ac:dyDescent="0.2">
      <c r="A1" t="s">
        <v>63</v>
      </c>
      <c r="B1" t="s">
        <v>1</v>
      </c>
      <c r="C1" t="s">
        <v>82</v>
      </c>
      <c r="D1" t="s">
        <v>59</v>
      </c>
      <c r="E1" t="s">
        <v>60</v>
      </c>
      <c r="F1" t="s">
        <v>61</v>
      </c>
      <c r="G1" t="s">
        <v>64</v>
      </c>
      <c r="H1" t="s">
        <v>65</v>
      </c>
      <c r="I1" t="s">
        <v>2</v>
      </c>
    </row>
    <row r="2" spans="1:9" hidden="1" x14ac:dyDescent="0.2">
      <c r="A2" t="s">
        <v>53</v>
      </c>
      <c r="B2" t="s">
        <v>5</v>
      </c>
      <c r="C2">
        <v>3</v>
      </c>
      <c r="D2">
        <v>20</v>
      </c>
      <c r="E2">
        <v>10</v>
      </c>
      <c r="F2">
        <v>55</v>
      </c>
      <c r="G2">
        <v>15</v>
      </c>
      <c r="H2">
        <v>20</v>
      </c>
      <c r="I2">
        <v>80</v>
      </c>
    </row>
    <row r="3" spans="1:9" x14ac:dyDescent="0.2">
      <c r="A3" t="s">
        <v>76</v>
      </c>
      <c r="B3" t="s">
        <v>5</v>
      </c>
      <c r="C3">
        <v>0</v>
      </c>
      <c r="D3">
        <v>95</v>
      </c>
      <c r="E3">
        <v>125</v>
      </c>
      <c r="F3">
        <v>79</v>
      </c>
      <c r="G3">
        <v>60</v>
      </c>
      <c r="H3">
        <v>100</v>
      </c>
      <c r="I3">
        <v>81</v>
      </c>
    </row>
    <row r="4" spans="1:9" hidden="1" x14ac:dyDescent="0.2">
      <c r="A4" t="s">
        <v>77</v>
      </c>
      <c r="B4" t="s">
        <v>5</v>
      </c>
      <c r="C4">
        <v>6</v>
      </c>
      <c r="D4">
        <v>130</v>
      </c>
      <c r="E4">
        <v>85</v>
      </c>
      <c r="F4">
        <v>80</v>
      </c>
      <c r="G4">
        <v>85</v>
      </c>
      <c r="H4">
        <v>95</v>
      </c>
      <c r="I4">
        <v>60</v>
      </c>
    </row>
    <row r="5" spans="1:9" hidden="1" x14ac:dyDescent="0.2">
      <c r="A5" t="s">
        <v>78</v>
      </c>
      <c r="B5" t="s">
        <v>20</v>
      </c>
      <c r="C5">
        <v>9</v>
      </c>
      <c r="D5">
        <v>48</v>
      </c>
      <c r="E5">
        <v>48</v>
      </c>
      <c r="F5">
        <v>48</v>
      </c>
      <c r="G5">
        <v>48</v>
      </c>
      <c r="H5">
        <v>48</v>
      </c>
      <c r="I5">
        <v>48</v>
      </c>
    </row>
    <row r="6" spans="1:9" hidden="1" x14ac:dyDescent="0.2">
      <c r="A6" t="s">
        <v>79</v>
      </c>
      <c r="B6" t="s">
        <v>20</v>
      </c>
      <c r="C6">
        <v>9</v>
      </c>
      <c r="D6">
        <v>55</v>
      </c>
      <c r="E6">
        <v>55</v>
      </c>
      <c r="F6">
        <v>50</v>
      </c>
      <c r="G6">
        <v>45</v>
      </c>
      <c r="H6">
        <v>65</v>
      </c>
      <c r="I6">
        <v>55</v>
      </c>
    </row>
    <row r="7" spans="1:9" hidden="1" x14ac:dyDescent="0.2">
      <c r="A7" t="s">
        <v>80</v>
      </c>
      <c r="B7" t="s">
        <v>5</v>
      </c>
      <c r="C7">
        <v>1</v>
      </c>
      <c r="D7">
        <v>130</v>
      </c>
      <c r="E7">
        <v>65</v>
      </c>
      <c r="F7">
        <v>60</v>
      </c>
      <c r="G7">
        <v>110</v>
      </c>
      <c r="H7">
        <v>95</v>
      </c>
      <c r="I7">
        <v>65</v>
      </c>
    </row>
    <row r="8" spans="1:9" hidden="1" x14ac:dyDescent="0.2">
      <c r="A8" t="s">
        <v>81</v>
      </c>
      <c r="B8" t="s">
        <v>14</v>
      </c>
      <c r="C8">
        <v>0</v>
      </c>
      <c r="D8">
        <v>65</v>
      </c>
      <c r="E8">
        <v>65</v>
      </c>
      <c r="F8">
        <v>60</v>
      </c>
      <c r="G8">
        <v>110</v>
      </c>
      <c r="H8">
        <v>95</v>
      </c>
      <c r="I8">
        <v>130</v>
      </c>
    </row>
    <row r="9" spans="1:9" hidden="1" x14ac:dyDescent="0.2">
      <c r="A9" t="s">
        <v>35</v>
      </c>
      <c r="B9" t="s">
        <v>12</v>
      </c>
      <c r="C9">
        <v>4</v>
      </c>
      <c r="D9">
        <v>14</v>
      </c>
      <c r="E9">
        <v>68</v>
      </c>
      <c r="F9">
        <v>54</v>
      </c>
      <c r="G9">
        <v>89</v>
      </c>
      <c r="H9">
        <v>99</v>
      </c>
      <c r="I9">
        <v>36</v>
      </c>
    </row>
    <row r="10" spans="1:9" hidden="1" x14ac:dyDescent="0.2">
      <c r="A10" t="s">
        <v>36</v>
      </c>
      <c r="B10" t="s">
        <v>5</v>
      </c>
      <c r="C10">
        <v>6</v>
      </c>
      <c r="D10">
        <v>71</v>
      </c>
      <c r="E10">
        <v>85</v>
      </c>
      <c r="F10">
        <v>61</v>
      </c>
      <c r="G10">
        <v>28</v>
      </c>
      <c r="H10">
        <v>62</v>
      </c>
      <c r="I10">
        <v>69</v>
      </c>
    </row>
    <row r="11" spans="1:9" hidden="1" x14ac:dyDescent="0.2">
      <c r="A11" t="s">
        <v>37</v>
      </c>
      <c r="B11" t="s">
        <v>3</v>
      </c>
      <c r="C11">
        <v>5</v>
      </c>
      <c r="D11">
        <v>63</v>
      </c>
      <c r="E11">
        <v>95</v>
      </c>
      <c r="F11">
        <v>41</v>
      </c>
      <c r="G11">
        <v>46</v>
      </c>
      <c r="H11">
        <v>93</v>
      </c>
      <c r="I11">
        <v>0</v>
      </c>
    </row>
    <row r="12" spans="1:9" hidden="1" x14ac:dyDescent="0.2">
      <c r="A12" t="s">
        <v>38</v>
      </c>
      <c r="B12" t="s">
        <v>5</v>
      </c>
      <c r="C12">
        <v>3</v>
      </c>
      <c r="D12">
        <v>29</v>
      </c>
      <c r="E12">
        <v>33</v>
      </c>
      <c r="F12">
        <v>95</v>
      </c>
      <c r="G12">
        <v>54</v>
      </c>
      <c r="H12">
        <v>97</v>
      </c>
      <c r="I12">
        <v>35</v>
      </c>
    </row>
    <row r="13" spans="1:9" hidden="1" x14ac:dyDescent="0.2">
      <c r="A13" t="s">
        <v>39</v>
      </c>
      <c r="B13" t="s">
        <v>14</v>
      </c>
      <c r="C13">
        <v>9</v>
      </c>
      <c r="D13">
        <v>26</v>
      </c>
      <c r="E13">
        <v>62</v>
      </c>
      <c r="F13">
        <v>74</v>
      </c>
      <c r="G13">
        <v>65</v>
      </c>
      <c r="H13">
        <v>16</v>
      </c>
      <c r="I13">
        <v>81</v>
      </c>
    </row>
    <row r="14" spans="1:9" hidden="1" x14ac:dyDescent="0.2">
      <c r="A14" t="s">
        <v>40</v>
      </c>
      <c r="B14" t="s">
        <v>5</v>
      </c>
      <c r="C14">
        <v>7</v>
      </c>
      <c r="D14">
        <v>92</v>
      </c>
      <c r="E14">
        <v>0</v>
      </c>
      <c r="F14">
        <v>86</v>
      </c>
      <c r="G14">
        <v>81</v>
      </c>
      <c r="H14">
        <v>79</v>
      </c>
      <c r="I14">
        <v>26</v>
      </c>
    </row>
    <row r="15" spans="1:9" hidden="1" x14ac:dyDescent="0.2">
      <c r="A15" t="s">
        <v>41</v>
      </c>
      <c r="B15" t="s">
        <v>5</v>
      </c>
      <c r="C15">
        <v>8</v>
      </c>
      <c r="D15">
        <v>9</v>
      </c>
      <c r="E15">
        <v>55</v>
      </c>
      <c r="F15">
        <v>41</v>
      </c>
      <c r="G15">
        <v>69</v>
      </c>
      <c r="H15">
        <v>25</v>
      </c>
      <c r="I15">
        <v>91</v>
      </c>
    </row>
    <row r="16" spans="1:9" hidden="1" x14ac:dyDescent="0.2">
      <c r="A16" t="s">
        <v>42</v>
      </c>
      <c r="B16" t="s">
        <v>17</v>
      </c>
      <c r="C16">
        <v>5</v>
      </c>
      <c r="D16">
        <v>36</v>
      </c>
      <c r="E16">
        <v>89</v>
      </c>
      <c r="F16">
        <v>91</v>
      </c>
      <c r="G16">
        <v>94</v>
      </c>
      <c r="H16">
        <v>82</v>
      </c>
      <c r="I16">
        <v>43</v>
      </c>
    </row>
    <row r="17" spans="1:9" hidden="1" x14ac:dyDescent="0.2">
      <c r="A17" t="s">
        <v>43</v>
      </c>
      <c r="B17" t="s">
        <v>19</v>
      </c>
      <c r="C17">
        <v>7</v>
      </c>
      <c r="D17">
        <v>62</v>
      </c>
      <c r="E17">
        <v>59</v>
      </c>
      <c r="F17">
        <v>83</v>
      </c>
      <c r="G17">
        <v>66</v>
      </c>
      <c r="H17">
        <v>65</v>
      </c>
      <c r="I17">
        <v>42</v>
      </c>
    </row>
    <row r="18" spans="1:9" hidden="1" x14ac:dyDescent="0.2">
      <c r="A18" t="s">
        <v>44</v>
      </c>
      <c r="B18" t="s">
        <v>20</v>
      </c>
      <c r="C18">
        <v>0</v>
      </c>
      <c r="D18">
        <v>6</v>
      </c>
      <c r="E18">
        <v>47</v>
      </c>
      <c r="F18">
        <v>77</v>
      </c>
      <c r="G18">
        <v>71</v>
      </c>
      <c r="H18">
        <v>38</v>
      </c>
      <c r="I18">
        <v>43</v>
      </c>
    </row>
    <row r="19" spans="1:9" hidden="1" x14ac:dyDescent="0.2">
      <c r="A19" t="s">
        <v>45</v>
      </c>
      <c r="B19" t="s">
        <v>20</v>
      </c>
      <c r="C19">
        <v>1</v>
      </c>
      <c r="D19">
        <v>83</v>
      </c>
      <c r="E19">
        <v>14</v>
      </c>
      <c r="F19">
        <v>73</v>
      </c>
      <c r="G19">
        <v>55</v>
      </c>
      <c r="H19">
        <v>32</v>
      </c>
      <c r="I19">
        <v>4</v>
      </c>
    </row>
    <row r="20" spans="1:9" hidden="1" x14ac:dyDescent="0.2">
      <c r="A20" t="s">
        <v>46</v>
      </c>
      <c r="B20" t="s">
        <v>22</v>
      </c>
      <c r="C20">
        <v>8</v>
      </c>
      <c r="D20">
        <v>66</v>
      </c>
      <c r="E20">
        <v>43</v>
      </c>
      <c r="F20">
        <v>3</v>
      </c>
      <c r="G20">
        <v>19</v>
      </c>
      <c r="H20">
        <v>49</v>
      </c>
      <c r="I20">
        <v>43</v>
      </c>
    </row>
    <row r="21" spans="1:9" hidden="1" x14ac:dyDescent="0.2">
      <c r="A21" t="s">
        <v>47</v>
      </c>
      <c r="B21" t="s">
        <v>20</v>
      </c>
      <c r="C21">
        <v>5</v>
      </c>
      <c r="D21">
        <v>44</v>
      </c>
      <c r="E21">
        <v>50</v>
      </c>
      <c r="F21">
        <v>97</v>
      </c>
      <c r="G21">
        <v>53</v>
      </c>
      <c r="H21">
        <v>74</v>
      </c>
      <c r="I21">
        <v>11</v>
      </c>
    </row>
    <row r="22" spans="1:9" hidden="1" x14ac:dyDescent="0.2">
      <c r="A22" t="s">
        <v>48</v>
      </c>
      <c r="B22" t="s">
        <v>5</v>
      </c>
      <c r="C22">
        <v>3</v>
      </c>
      <c r="D22">
        <v>96</v>
      </c>
      <c r="E22">
        <v>37</v>
      </c>
      <c r="F22">
        <v>44</v>
      </c>
      <c r="G22">
        <v>59</v>
      </c>
      <c r="H22">
        <v>46</v>
      </c>
      <c r="I22">
        <v>12</v>
      </c>
    </row>
    <row r="23" spans="1:9" hidden="1" x14ac:dyDescent="0.2">
      <c r="A23" t="s">
        <v>49</v>
      </c>
      <c r="B23" t="s">
        <v>13</v>
      </c>
      <c r="C23">
        <v>4</v>
      </c>
      <c r="D23">
        <v>56</v>
      </c>
      <c r="E23">
        <v>39</v>
      </c>
      <c r="F23">
        <v>35</v>
      </c>
      <c r="G23">
        <v>51</v>
      </c>
      <c r="H23">
        <v>44</v>
      </c>
      <c r="I23">
        <v>6</v>
      </c>
    </row>
    <row r="24" spans="1:9" hidden="1" x14ac:dyDescent="0.2">
      <c r="A24" t="s">
        <v>50</v>
      </c>
      <c r="B24" t="s">
        <v>12</v>
      </c>
      <c r="C24">
        <v>0</v>
      </c>
      <c r="D24">
        <v>44</v>
      </c>
      <c r="E24">
        <v>76</v>
      </c>
      <c r="F24">
        <v>85</v>
      </c>
      <c r="G24">
        <v>32</v>
      </c>
      <c r="H24">
        <v>73</v>
      </c>
      <c r="I24">
        <v>57</v>
      </c>
    </row>
    <row r="25" spans="1:9" hidden="1" x14ac:dyDescent="0.2">
      <c r="A25" t="s">
        <v>30</v>
      </c>
      <c r="B25" t="s">
        <v>4</v>
      </c>
      <c r="C25">
        <v>1</v>
      </c>
      <c r="D25">
        <v>18</v>
      </c>
      <c r="E25">
        <v>63</v>
      </c>
      <c r="F25">
        <v>46</v>
      </c>
      <c r="G25">
        <v>36</v>
      </c>
      <c r="H25">
        <v>32</v>
      </c>
      <c r="I25">
        <v>85</v>
      </c>
    </row>
    <row r="26" spans="1:9" hidden="1" x14ac:dyDescent="0.2">
      <c r="A26" t="s">
        <v>51</v>
      </c>
      <c r="B26" t="s">
        <v>13</v>
      </c>
      <c r="C26">
        <v>7</v>
      </c>
      <c r="D26">
        <v>70</v>
      </c>
      <c r="E26">
        <v>64</v>
      </c>
      <c r="F26">
        <v>78</v>
      </c>
      <c r="G26">
        <v>83</v>
      </c>
      <c r="H26">
        <v>52</v>
      </c>
      <c r="I26">
        <v>99</v>
      </c>
    </row>
    <row r="27" spans="1:9" hidden="1" x14ac:dyDescent="0.2">
      <c r="A27" t="s">
        <v>52</v>
      </c>
      <c r="B27" t="s">
        <v>23</v>
      </c>
      <c r="C27">
        <v>5</v>
      </c>
      <c r="D27">
        <v>51</v>
      </c>
      <c r="E27">
        <v>0</v>
      </c>
      <c r="F27">
        <v>7</v>
      </c>
      <c r="G27">
        <v>15</v>
      </c>
      <c r="H27">
        <v>16</v>
      </c>
      <c r="I27">
        <v>58</v>
      </c>
    </row>
    <row r="28" spans="1:9" x14ac:dyDescent="0.2">
      <c r="A28" t="s">
        <v>76</v>
      </c>
      <c r="B28" t="s">
        <v>92</v>
      </c>
      <c r="C28">
        <v>0</v>
      </c>
      <c r="D28">
        <v>34</v>
      </c>
      <c r="E28">
        <v>45</v>
      </c>
      <c r="F28">
        <v>67</v>
      </c>
      <c r="G28">
        <v>34</v>
      </c>
      <c r="H28">
        <v>89</v>
      </c>
      <c r="I28">
        <v>23</v>
      </c>
    </row>
  </sheetData>
  <autoFilter ref="A1:I28" xr:uid="{72A11074-88E1-FB4F-A872-3F1F0C1D0CBB}">
    <filterColumn colId="0">
      <filters>
        <filter val="Gyarados"/>
      </filters>
    </filterColumn>
  </autoFilter>
  <conditionalFormatting sqref="A1:A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BCDA-7196-3549-8FD6-BB1711029F3D}">
  <dimension ref="A1:G9"/>
  <sheetViews>
    <sheetView tabSelected="1" workbookViewId="0">
      <selection activeCell="A4" sqref="A4"/>
    </sheetView>
  </sheetViews>
  <sheetFormatPr baseColWidth="10" defaultRowHeight="16" x14ac:dyDescent="0.2"/>
  <cols>
    <col min="1" max="1" width="13" bestFit="1" customWidth="1"/>
    <col min="2" max="2" width="9.6640625" bestFit="1" customWidth="1"/>
    <col min="3" max="3" width="12.6640625" bestFit="1" customWidth="1"/>
    <col min="4" max="4" width="14.1640625" bestFit="1" customWidth="1"/>
    <col min="5" max="5" width="12.83203125" bestFit="1" customWidth="1"/>
    <col min="6" max="6" width="13" bestFit="1" customWidth="1"/>
    <col min="7" max="7" width="12.1640625" bestFit="1" customWidth="1"/>
  </cols>
  <sheetData>
    <row r="1" spans="1:7" x14ac:dyDescent="0.2">
      <c r="A1" s="5" t="s">
        <v>82</v>
      </c>
      <c r="B1" s="6">
        <v>0</v>
      </c>
    </row>
    <row r="2" spans="1:7" x14ac:dyDescent="0.2">
      <c r="A2" s="5" t="s">
        <v>1</v>
      </c>
      <c r="B2" t="s">
        <v>91</v>
      </c>
    </row>
    <row r="4" spans="1:7" x14ac:dyDescent="0.2">
      <c r="A4" s="5" t="s">
        <v>83</v>
      </c>
      <c r="B4" t="s">
        <v>85</v>
      </c>
      <c r="C4" t="s">
        <v>86</v>
      </c>
      <c r="D4" t="s">
        <v>87</v>
      </c>
      <c r="E4" t="s">
        <v>88</v>
      </c>
      <c r="F4" t="s">
        <v>89</v>
      </c>
      <c r="G4" t="s">
        <v>90</v>
      </c>
    </row>
    <row r="5" spans="1:7" x14ac:dyDescent="0.2">
      <c r="A5" s="6" t="s">
        <v>76</v>
      </c>
      <c r="B5" s="3">
        <v>129</v>
      </c>
      <c r="C5" s="3">
        <v>170</v>
      </c>
      <c r="D5" s="3">
        <v>146</v>
      </c>
      <c r="E5" s="3">
        <v>94</v>
      </c>
      <c r="F5" s="3">
        <v>189</v>
      </c>
      <c r="G5" s="3">
        <v>104</v>
      </c>
    </row>
    <row r="6" spans="1:7" x14ac:dyDescent="0.2">
      <c r="A6" s="6" t="s">
        <v>50</v>
      </c>
      <c r="B6" s="3">
        <v>44</v>
      </c>
      <c r="C6" s="3">
        <v>76</v>
      </c>
      <c r="D6" s="3">
        <v>85</v>
      </c>
      <c r="E6" s="3">
        <v>32</v>
      </c>
      <c r="F6" s="3">
        <v>73</v>
      </c>
      <c r="G6" s="3">
        <v>57</v>
      </c>
    </row>
    <row r="7" spans="1:7" x14ac:dyDescent="0.2">
      <c r="A7" s="6" t="s">
        <v>81</v>
      </c>
      <c r="B7" s="3">
        <v>65</v>
      </c>
      <c r="C7" s="3">
        <v>65</v>
      </c>
      <c r="D7" s="3">
        <v>60</v>
      </c>
      <c r="E7" s="3">
        <v>110</v>
      </c>
      <c r="F7" s="3">
        <v>95</v>
      </c>
      <c r="G7" s="3">
        <v>130</v>
      </c>
    </row>
    <row r="8" spans="1:7" x14ac:dyDescent="0.2">
      <c r="A8" s="6" t="s">
        <v>44</v>
      </c>
      <c r="B8" s="3">
        <v>6</v>
      </c>
      <c r="C8" s="3">
        <v>47</v>
      </c>
      <c r="D8" s="3">
        <v>77</v>
      </c>
      <c r="E8" s="3">
        <v>71</v>
      </c>
      <c r="F8" s="3">
        <v>38</v>
      </c>
      <c r="G8" s="3">
        <v>43</v>
      </c>
    </row>
    <row r="9" spans="1:7" x14ac:dyDescent="0.2">
      <c r="A9" s="6" t="s">
        <v>84</v>
      </c>
      <c r="B9" s="3">
        <v>244</v>
      </c>
      <c r="C9" s="3">
        <v>358</v>
      </c>
      <c r="D9" s="3">
        <v>368</v>
      </c>
      <c r="E9" s="3">
        <v>307</v>
      </c>
      <c r="F9" s="3">
        <v>395</v>
      </c>
      <c r="G9" s="3">
        <v>334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25c952f-1947-4719-99e7-7bc5a76060a8}" enabled="1" method="Standard" siteId="{4e2c6054-71cb-48f1-bd6c-3a9705aca71b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Chart</vt:lpstr>
      <vt:lpstr>Pivot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Reshmi Chandran</dc:creator>
  <cp:lastModifiedBy>Reshmi Chandran</cp:lastModifiedBy>
  <dcterms:created xsi:type="dcterms:W3CDTF">2026-04-09T13:06:53Z</dcterms:created>
  <dcterms:modified xsi:type="dcterms:W3CDTF">2026-04-13T03:53:23Z</dcterms:modified>
</cp:coreProperties>
</file>